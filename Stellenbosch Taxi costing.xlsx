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Rhamsrv\Folder Redirection\neil\Desktop\Rham - Customer correspondence\Stellies\"/>
    </mc:Choice>
  </mc:AlternateContent>
  <xr:revisionPtr revIDLastSave="0" documentId="13_ncr:1_{22D10723-86A5-4CDA-8F35-736159E3FCBF}" xr6:coauthVersionLast="47" xr6:coauthVersionMax="47" xr10:uidLastSave="{00000000-0000-0000-0000-000000000000}"/>
  <bookViews>
    <workbookView xWindow="-120" yWindow="-120" windowWidth="29040" windowHeight="15840" activeTab="1" xr2:uid="{98F52C38-0524-4D69-8EAA-2C02434B83B8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D38" i="2"/>
  <c r="D39" i="2"/>
  <c r="D3" i="2"/>
  <c r="D4" i="2"/>
  <c r="D5" i="2"/>
  <c r="D6" i="2"/>
  <c r="D7" i="2"/>
  <c r="D8" i="2"/>
  <c r="D10" i="2"/>
  <c r="D11" i="2"/>
  <c r="D12" i="2"/>
  <c r="D13" i="2"/>
  <c r="D15" i="2"/>
  <c r="D18" i="2"/>
  <c r="D19" i="2"/>
  <c r="D20" i="2"/>
  <c r="D21" i="2"/>
  <c r="D29" i="2"/>
  <c r="D32" i="2"/>
  <c r="D33" i="2"/>
  <c r="B9" i="2"/>
  <c r="D9" i="2" s="1"/>
  <c r="D2" i="2"/>
  <c r="C3" i="1"/>
  <c r="C5" i="1"/>
  <c r="C20" i="1"/>
  <c r="C18" i="1"/>
  <c r="C15" i="1"/>
  <c r="C14" i="1"/>
  <c r="B13" i="1"/>
  <c r="C19" i="1" s="1"/>
  <c r="B7" i="1"/>
  <c r="C16" i="1" s="1"/>
  <c r="B6" i="1"/>
  <c r="C17" i="1" s="1"/>
  <c r="C2" i="1"/>
  <c r="B11" i="1" s="1"/>
  <c r="D42" i="2" l="1"/>
  <c r="C21" i="1"/>
  <c r="A27" i="2"/>
  <c r="A2" i="2"/>
  <c r="A31" i="2"/>
  <c r="A30" i="2"/>
  <c r="A12" i="2"/>
  <c r="A25" i="2"/>
  <c r="A17" i="2"/>
  <c r="A21" i="2"/>
  <c r="A41" i="2"/>
  <c r="A7" i="2"/>
  <c r="A10" i="2"/>
  <c r="A29" i="2"/>
  <c r="A22" i="2"/>
  <c r="A24" i="2"/>
  <c r="A26" i="2"/>
  <c r="A35" i="2"/>
  <c r="A6" i="2"/>
  <c r="A32" i="2"/>
  <c r="A15" i="2"/>
  <c r="A34" i="2"/>
  <c r="A3" i="2"/>
  <c r="A19" i="2"/>
  <c r="A28" i="2"/>
  <c r="A23" i="2"/>
  <c r="A38" i="2"/>
  <c r="A39" i="2"/>
  <c r="A9" i="2"/>
  <c r="A16" i="2"/>
  <c r="A20" i="2"/>
  <c r="A40" i="2"/>
  <c r="A33" i="2"/>
  <c r="A36" i="2"/>
  <c r="A13" i="2"/>
  <c r="A37" i="2"/>
</calcChain>
</file>

<file path=xl/sharedStrings.xml><?xml version="1.0" encoding="utf-8"?>
<sst xmlns="http://schemas.openxmlformats.org/spreadsheetml/2006/main" count="61" uniqueCount="30">
  <si>
    <t xml:space="preserve">Description </t>
  </si>
  <si>
    <t>Unit</t>
  </si>
  <si>
    <t>Total</t>
  </si>
  <si>
    <t>Number of batteries</t>
  </si>
  <si>
    <t>Ah</t>
  </si>
  <si>
    <t>Volts</t>
  </si>
  <si>
    <t>kWh</t>
  </si>
  <si>
    <t>Number of buzz bars required</t>
  </si>
  <si>
    <t>Number of BMS required</t>
  </si>
  <si>
    <t xml:space="preserve">Number of small Trays </t>
  </si>
  <si>
    <t xml:space="preserve">Number of large Trays </t>
  </si>
  <si>
    <t>Number of cells per Small Tray</t>
  </si>
  <si>
    <t>Number of cells per Large Tray</t>
  </si>
  <si>
    <t>Fuses per tray</t>
  </si>
  <si>
    <t>Total Fuses</t>
  </si>
  <si>
    <t>Rate per Cell</t>
  </si>
  <si>
    <t>Rate per MCU</t>
  </si>
  <si>
    <t>Rate per LMU</t>
  </si>
  <si>
    <t>Copper busbar</t>
  </si>
  <si>
    <t>Battery box enclosure</t>
  </si>
  <si>
    <t>Fuses</t>
  </si>
  <si>
    <t>Ancillaries as per bom</t>
  </si>
  <si>
    <t>Price</t>
  </si>
  <si>
    <t>MCU</t>
  </si>
  <si>
    <t>CMU</t>
  </si>
  <si>
    <t>BMS Enclosures</t>
  </si>
  <si>
    <t>ECU</t>
  </si>
  <si>
    <t>TBC</t>
  </si>
  <si>
    <t>Battery Fuses</t>
  </si>
  <si>
    <t>HV Rack Fuses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</si>
</sst>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-1C09]* #,##0.00_-;\-[$R-1C09]* #,##0.00_-;_-[$R-1C09]* &quot;-&quot;??_-;_-@_-"/>
    <numFmt numFmtId="171" formatCode="_-[$R-436]* #,##0_-;\-[$R-436]* #,##0_-;_-[$R-436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71" fontId="0" fillId="0" borderId="0" xfId="0" applyNumberFormat="1" applyAlignment="1">
      <alignment horizontal="left"/>
    </xf>
    <xf numFmtId="171" fontId="0" fillId="3" borderId="0" xfId="0" applyNumberForma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2">
    <cellStyle name="Normal" xfId="0" builtinId="0"/>
    <cellStyle name="Normal 2" xfId="1" xr:uid="{E6EF9EB7-FCD4-4E69-85F9-F63E84D3A88B}"/>
  </cellStyles>
  <dxfs count="14">
    <dxf>
      <numFmt numFmtId="171" formatCode="_-[$R-436]* #,##0_-;\-[$R-436]* #,##0_-;_-[$R-436]* &quot;-&quot;??_-;_-@_-"/>
      <alignment horizontal="left" vertical="bottom" textRotation="0" wrapText="0" indent="0" justifyLastLine="0" shrinkToFit="0" readingOrder="0"/>
    </dxf>
    <dxf>
      <numFmt numFmtId="171" formatCode="_-[$R-436]* #,##0_-;\-[$R-436]* #,##0_-;_-[$R-436]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71" formatCode="_-[$R-436]* #,##0_-;\-[$R-436]* #,##0_-;_-[$R-436]* &quot;-&quot;??_-;_-@_-"/>
      <alignment horizontal="left" vertical="bottom" textRotation="0" wrapText="0" indent="0" justifyLastLine="0" shrinkToFit="0" readingOrder="0"/>
    </dxf>
    <dxf>
      <numFmt numFmtId="171" formatCode="_-[$R-436]* #,##0_-;\-[$R-436]* #,##0_-;_-[$R-436]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164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HAMSRV\Folder%20Redirection\neil\Desktop\WIP\Workshop\Battery%20costing.xlsx" TargetMode="External"/><Relationship Id="rId1" Type="http://schemas.openxmlformats.org/officeDocument/2006/relationships/externalLinkPath" Target="file:///\\RHAMSRV\Folder%20Redirection\neil\Desktop\WIP\Workshop\Battery%20co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6">
          <cell r="H6">
            <v>7200</v>
          </cell>
        </row>
        <row r="7">
          <cell r="H7">
            <v>5554.4</v>
          </cell>
        </row>
        <row r="8">
          <cell r="H8">
            <v>4617.6000000000004</v>
          </cell>
        </row>
        <row r="9">
          <cell r="H9">
            <v>650</v>
          </cell>
        </row>
        <row r="10">
          <cell r="H10">
            <v>0</v>
          </cell>
        </row>
        <row r="11">
          <cell r="H11">
            <v>5994</v>
          </cell>
        </row>
        <row r="12">
          <cell r="H12">
            <v>2273.04</v>
          </cell>
        </row>
        <row r="13">
          <cell r="H13">
            <v>2698.2</v>
          </cell>
        </row>
        <row r="14">
          <cell r="H14">
            <v>107.48</v>
          </cell>
        </row>
        <row r="15">
          <cell r="H15">
            <v>6249.9</v>
          </cell>
        </row>
        <row r="16">
          <cell r="H16">
            <v>6249.9</v>
          </cell>
        </row>
        <row r="17">
          <cell r="H17">
            <v>57.3</v>
          </cell>
        </row>
        <row r="18">
          <cell r="H18">
            <v>169.07</v>
          </cell>
        </row>
        <row r="19">
          <cell r="H19">
            <v>137.06</v>
          </cell>
        </row>
        <row r="20">
          <cell r="H20">
            <v>1760</v>
          </cell>
        </row>
        <row r="21">
          <cell r="H21">
            <v>53.74</v>
          </cell>
        </row>
        <row r="22">
          <cell r="H22">
            <v>1820</v>
          </cell>
        </row>
        <row r="23">
          <cell r="H23">
            <v>1672.1100000000001</v>
          </cell>
        </row>
        <row r="24">
          <cell r="H24">
            <v>658.35</v>
          </cell>
        </row>
        <row r="25">
          <cell r="H25">
            <v>205.68</v>
          </cell>
        </row>
        <row r="26">
          <cell r="H26">
            <v>1545.3</v>
          </cell>
        </row>
        <row r="27">
          <cell r="H27">
            <v>1435.65</v>
          </cell>
        </row>
        <row r="28">
          <cell r="H28">
            <v>147.16</v>
          </cell>
        </row>
        <row r="29">
          <cell r="H29">
            <v>11050</v>
          </cell>
        </row>
        <row r="30">
          <cell r="H30">
            <v>308.52</v>
          </cell>
        </row>
        <row r="31">
          <cell r="H31">
            <v>1410</v>
          </cell>
        </row>
        <row r="32">
          <cell r="H32">
            <v>2067.23</v>
          </cell>
        </row>
        <row r="33">
          <cell r="H33">
            <v>608</v>
          </cell>
        </row>
        <row r="34">
          <cell r="H34">
            <v>51.88</v>
          </cell>
        </row>
        <row r="35">
          <cell r="H35">
            <v>79.19</v>
          </cell>
        </row>
        <row r="36">
          <cell r="H36">
            <v>19184</v>
          </cell>
        </row>
        <row r="37">
          <cell r="H37">
            <v>1521</v>
          </cell>
        </row>
        <row r="38">
          <cell r="H38">
            <v>7.96</v>
          </cell>
        </row>
        <row r="39">
          <cell r="H39">
            <v>234.81</v>
          </cell>
        </row>
        <row r="40">
          <cell r="H40">
            <v>79.5</v>
          </cell>
        </row>
        <row r="41">
          <cell r="H41">
            <v>1750</v>
          </cell>
        </row>
        <row r="42">
          <cell r="H42">
            <v>1825</v>
          </cell>
        </row>
        <row r="43">
          <cell r="H43">
            <v>1388.6</v>
          </cell>
        </row>
        <row r="44">
          <cell r="H44">
            <v>1154.4000000000001</v>
          </cell>
        </row>
        <row r="45">
          <cell r="H45">
            <v>130.10999999999999</v>
          </cell>
        </row>
        <row r="46">
          <cell r="H46">
            <v>84.6</v>
          </cell>
        </row>
        <row r="47">
          <cell r="H47">
            <v>433.7</v>
          </cell>
        </row>
        <row r="48">
          <cell r="H48">
            <v>1294.1999999999998</v>
          </cell>
        </row>
        <row r="49">
          <cell r="H49">
            <v>598.67999999999995</v>
          </cell>
        </row>
        <row r="50">
          <cell r="H50">
            <v>864.45</v>
          </cell>
        </row>
        <row r="51">
          <cell r="H51">
            <v>3749.5499999999997</v>
          </cell>
        </row>
        <row r="52">
          <cell r="H52">
            <v>8762</v>
          </cell>
        </row>
        <row r="53">
          <cell r="H53">
            <v>7009.6</v>
          </cell>
        </row>
        <row r="54">
          <cell r="H54">
            <v>269.88</v>
          </cell>
        </row>
        <row r="55">
          <cell r="H55">
            <v>29.639999999999997</v>
          </cell>
        </row>
        <row r="56">
          <cell r="H56">
            <v>96</v>
          </cell>
        </row>
        <row r="57">
          <cell r="H57">
            <v>31.200000000000003</v>
          </cell>
        </row>
        <row r="58">
          <cell r="H58">
            <v>360</v>
          </cell>
        </row>
        <row r="59">
          <cell r="H59">
            <v>75.25</v>
          </cell>
        </row>
        <row r="60">
          <cell r="H60">
            <v>6.72</v>
          </cell>
        </row>
        <row r="61">
          <cell r="H61">
            <v>20805</v>
          </cell>
        </row>
        <row r="62">
          <cell r="H62">
            <v>23715</v>
          </cell>
        </row>
        <row r="63">
          <cell r="H63">
            <v>671.04</v>
          </cell>
        </row>
        <row r="64">
          <cell r="H64">
            <v>0</v>
          </cell>
        </row>
        <row r="65">
          <cell r="H65">
            <v>671.04</v>
          </cell>
        </row>
        <row r="66">
          <cell r="H66">
            <v>61967.85</v>
          </cell>
        </row>
        <row r="67">
          <cell r="H67">
            <v>13658</v>
          </cell>
        </row>
        <row r="68">
          <cell r="H68">
            <v>650</v>
          </cell>
        </row>
        <row r="69">
          <cell r="H69">
            <v>236.64299999999997</v>
          </cell>
        </row>
        <row r="70">
          <cell r="H70">
            <v>14600</v>
          </cell>
        </row>
        <row r="71">
          <cell r="H71">
            <v>2853</v>
          </cell>
        </row>
        <row r="72">
          <cell r="H72">
            <v>951</v>
          </cell>
        </row>
        <row r="73">
          <cell r="H73">
            <v>951</v>
          </cell>
        </row>
        <row r="74">
          <cell r="H74">
            <v>252.19</v>
          </cell>
        </row>
        <row r="75">
          <cell r="H75">
            <v>409.35</v>
          </cell>
        </row>
        <row r="76">
          <cell r="H76">
            <v>409.35</v>
          </cell>
        </row>
        <row r="77">
          <cell r="H77">
            <v>252.19</v>
          </cell>
        </row>
        <row r="78">
          <cell r="H78">
            <v>864.75000000000011</v>
          </cell>
        </row>
        <row r="79">
          <cell r="H79">
            <v>463.31</v>
          </cell>
        </row>
        <row r="80">
          <cell r="H80">
            <v>463.31</v>
          </cell>
        </row>
        <row r="81">
          <cell r="H81">
            <v>119.69999999999999</v>
          </cell>
        </row>
        <row r="82">
          <cell r="H82">
            <v>710</v>
          </cell>
        </row>
        <row r="83">
          <cell r="H83">
            <v>750</v>
          </cell>
        </row>
        <row r="84">
          <cell r="H84">
            <v>1350</v>
          </cell>
        </row>
        <row r="85">
          <cell r="H85">
            <v>585</v>
          </cell>
        </row>
        <row r="86">
          <cell r="H86">
            <v>43.5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01156-09FB-47A7-BDE5-E5FE3509F4B6}" name="Table1" displayName="Table1" ref="A1:C21" totalsRowCount="1">
  <autoFilter ref="A1:C20" xr:uid="{65101156-09FB-47A7-BDE5-E5FE3509F4B6}"/>
  <tableColumns count="3">
    <tableColumn id="1" xr3:uid="{F2314FE3-1853-4993-80CF-4E6176441F23}" name="Description " totalsRowLabel="Total"/>
    <tableColumn id="2" xr3:uid="{B67B488E-E0CD-4BE6-9EA0-2E8E549BB6A7}" name="Unit"/>
    <tableColumn id="3" xr3:uid="{C7BC3152-D881-4A70-8620-8DD1A4766DFB}" name="Total" totalsRowFunction="custom" totalsRowDxfId="13">
      <totalsRowFormula>SUM(C14:C20)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1E002F-BE53-498B-A2A1-43E1323F03B4}" name="Table2" displayName="Table2" ref="A1:D42" totalsRowCount="1" headerRowDxfId="10" dataDxfId="8" totalsRowDxfId="9" headerRowBorderDxfId="12" tableBorderDxfId="11">
  <autoFilter ref="A1:D41" xr:uid="{231E002F-BE53-498B-A2A1-43E1323F03B4}"/>
  <tableColumns count="4">
    <tableColumn id="1" xr3:uid="{BED6AE0F-75D9-429F-B324-9CD0400CEF2B}" name="Description " totalsRowLabel="Total" dataDxfId="7" totalsRowDxfId="3">
      <calculatedColumnFormula>PROPER(Table2[[#This Row],[Description ]])</calculatedColumnFormula>
    </tableColumn>
    <tableColumn id="2" xr3:uid="{86724CC7-DBA9-44B6-A7F3-9473C5B1AAC1}" name="Unit" dataDxfId="6" totalsRowDxfId="2"/>
    <tableColumn id="3" xr3:uid="{2B7DD610-BC0E-4F2D-910B-CB5AF35548FA}" name="Price" dataDxfId="5" totalsRowDxfId="1"/>
    <tableColumn id="4" xr3:uid="{565F5FA7-1DA5-4FBB-BE32-D888BACDADD1}" name="Total" totalsRowFunction="sum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7C66-FA28-4267-ACD7-CC8034B1EB29}">
  <dimension ref="A1:C21"/>
  <sheetViews>
    <sheetView workbookViewId="0">
      <selection activeCell="A19" sqref="A19"/>
    </sheetView>
  </sheetViews>
  <sheetFormatPr defaultRowHeight="15" x14ac:dyDescent="0.25"/>
  <cols>
    <col min="1" max="1" width="28.42578125" bestFit="1" customWidth="1"/>
    <col min="2" max="2" width="12.5703125" bestFit="1" customWidth="1"/>
    <col min="3" max="3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432</v>
      </c>
      <c r="C2">
        <f>B2/2</f>
        <v>216</v>
      </c>
    </row>
    <row r="3" spans="1:3" x14ac:dyDescent="0.25">
      <c r="A3" t="s">
        <v>4</v>
      </c>
      <c r="B3">
        <v>280</v>
      </c>
      <c r="C3">
        <f>C2*(B3*2)</f>
        <v>120960</v>
      </c>
    </row>
    <row r="4" spans="1:3" x14ac:dyDescent="0.25">
      <c r="A4" t="s">
        <v>5</v>
      </c>
      <c r="B4">
        <v>3.2</v>
      </c>
    </row>
    <row r="5" spans="1:3" x14ac:dyDescent="0.25">
      <c r="A5" t="s">
        <v>6</v>
      </c>
      <c r="C5">
        <f>(C3*B4)/1000</f>
        <v>387.072</v>
      </c>
    </row>
    <row r="6" spans="1:3" x14ac:dyDescent="0.25">
      <c r="A6" t="s">
        <v>7</v>
      </c>
      <c r="B6">
        <f>B2*6</f>
        <v>2592</v>
      </c>
    </row>
    <row r="7" spans="1:3" x14ac:dyDescent="0.25">
      <c r="A7" t="s">
        <v>8</v>
      </c>
      <c r="B7">
        <f>C2/12</f>
        <v>18</v>
      </c>
    </row>
    <row r="8" spans="1:3" x14ac:dyDescent="0.25">
      <c r="A8" t="s">
        <v>9</v>
      </c>
      <c r="B8">
        <v>6</v>
      </c>
    </row>
    <row r="9" spans="1:3" x14ac:dyDescent="0.25">
      <c r="A9" t="s">
        <v>10</v>
      </c>
      <c r="B9">
        <v>3</v>
      </c>
    </row>
    <row r="10" spans="1:3" x14ac:dyDescent="0.25">
      <c r="A10" t="s">
        <v>11</v>
      </c>
      <c r="B10">
        <v>12</v>
      </c>
    </row>
    <row r="11" spans="1:3" x14ac:dyDescent="0.25">
      <c r="A11" t="s">
        <v>12</v>
      </c>
      <c r="B11">
        <f>(C2-(B8*B10))/B9</f>
        <v>48</v>
      </c>
    </row>
    <row r="12" spans="1:3" x14ac:dyDescent="0.25">
      <c r="A12" t="s">
        <v>13</v>
      </c>
      <c r="B12">
        <v>2</v>
      </c>
    </row>
    <row r="13" spans="1:3" x14ac:dyDescent="0.25">
      <c r="A13" t="s">
        <v>14</v>
      </c>
      <c r="B13">
        <f>B12*(SUM(B8:B9))</f>
        <v>18</v>
      </c>
    </row>
    <row r="14" spans="1:3" x14ac:dyDescent="0.25">
      <c r="A14" t="s">
        <v>15</v>
      </c>
      <c r="B14" s="1">
        <v>2955</v>
      </c>
      <c r="C14" s="1">
        <f>B2*B14</f>
        <v>1276560</v>
      </c>
    </row>
    <row r="15" spans="1:3" x14ac:dyDescent="0.25">
      <c r="A15" t="s">
        <v>16</v>
      </c>
      <c r="B15" s="1">
        <v>9284</v>
      </c>
      <c r="C15" s="1">
        <f>B15*1</f>
        <v>9284</v>
      </c>
    </row>
    <row r="16" spans="1:3" x14ac:dyDescent="0.25">
      <c r="A16" t="s">
        <v>17</v>
      </c>
      <c r="B16" s="1">
        <v>2500</v>
      </c>
      <c r="C16" s="1">
        <f>B7*Table1[[#This Row],[Unit]]</f>
        <v>45000</v>
      </c>
    </row>
    <row r="17" spans="1:3" x14ac:dyDescent="0.25">
      <c r="A17" t="s">
        <v>18</v>
      </c>
      <c r="B17" s="1">
        <v>16.649999999999999</v>
      </c>
      <c r="C17" s="1">
        <f>B6*B17</f>
        <v>43156.799999999996</v>
      </c>
    </row>
    <row r="18" spans="1:3" x14ac:dyDescent="0.25">
      <c r="A18" t="s">
        <v>19</v>
      </c>
      <c r="B18" s="1">
        <v>153537.29999999999</v>
      </c>
      <c r="C18" s="1">
        <f>Table1[[#This Row],[Unit]]</f>
        <v>153537.29999999999</v>
      </c>
    </row>
    <row r="19" spans="1:3" x14ac:dyDescent="0.25">
      <c r="A19" t="s">
        <v>20</v>
      </c>
      <c r="B19" s="1">
        <v>2378</v>
      </c>
      <c r="C19" s="1">
        <f>B13*Table1[[#This Row],[Unit]]</f>
        <v>42804</v>
      </c>
    </row>
    <row r="20" spans="1:3" x14ac:dyDescent="0.25">
      <c r="A20" t="s">
        <v>21</v>
      </c>
      <c r="B20" s="1"/>
      <c r="C20" s="1">
        <f>SUM([1]Sheet2!H6:H86)</f>
        <v>266173.8330000001</v>
      </c>
    </row>
    <row r="21" spans="1:3" x14ac:dyDescent="0.25">
      <c r="A21" t="s">
        <v>2</v>
      </c>
      <c r="C21" s="1">
        <f>SUM(C14:C20)</f>
        <v>1836515.9330000002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AB47-E5A0-42F4-A8FC-57F4E724B071}">
  <dimension ref="A1:D42"/>
  <sheetViews>
    <sheetView tabSelected="1" workbookViewId="0">
      <selection activeCell="F12" sqref="F12"/>
    </sheetView>
  </sheetViews>
  <sheetFormatPr defaultRowHeight="15" x14ac:dyDescent="0.25"/>
  <cols>
    <col min="1" max="1" width="38" bestFit="1" customWidth="1"/>
    <col min="2" max="2" width="7" customWidth="1"/>
    <col min="3" max="3" width="12.140625" bestFit="1" customWidth="1"/>
    <col min="4" max="4" width="12.5703125" bestFit="1" customWidth="1"/>
    <col min="5" max="5" width="11.140625" bestFit="1" customWidth="1"/>
    <col min="6" max="6" width="35.7109375" bestFit="1" customWidth="1"/>
  </cols>
  <sheetData>
    <row r="1" spans="1:4" x14ac:dyDescent="0.25">
      <c r="A1" s="4" t="s">
        <v>0</v>
      </c>
      <c r="B1" s="9" t="s">
        <v>1</v>
      </c>
      <c r="C1" s="9" t="s">
        <v>22</v>
      </c>
      <c r="D1" s="10" t="s">
        <v>2</v>
      </c>
    </row>
    <row r="2" spans="1:4" x14ac:dyDescent="0.25">
      <c r="A2" s="5" t="str">
        <f ca="1">PROPER(Table2[[#This Row],[Description ]])</f>
        <v>Outer Box</v>
      </c>
      <c r="B2" s="2">
        <v>1</v>
      </c>
      <c r="C2" s="7">
        <v>5525.83</v>
      </c>
      <c r="D2" s="7">
        <f>B2*C2</f>
        <v>5525.83</v>
      </c>
    </row>
    <row r="3" spans="1:4" x14ac:dyDescent="0.25">
      <c r="A3" s="5" t="str">
        <f ca="1">PROPER(Table2[[#This Row],[Description ]])</f>
        <v>Batteries</v>
      </c>
      <c r="B3" s="2">
        <v>160</v>
      </c>
      <c r="C3" s="7">
        <v>1344.42</v>
      </c>
      <c r="D3" s="7">
        <f t="shared" ref="D3:D39" si="0">B3*C3</f>
        <v>215107.20000000001</v>
      </c>
    </row>
    <row r="4" spans="1:4" x14ac:dyDescent="0.25">
      <c r="A4" s="5" t="s">
        <v>23</v>
      </c>
      <c r="B4" s="2">
        <v>1</v>
      </c>
      <c r="C4" s="7">
        <v>9284</v>
      </c>
      <c r="D4" s="7">
        <f t="shared" si="0"/>
        <v>9284</v>
      </c>
    </row>
    <row r="5" spans="1:4" x14ac:dyDescent="0.25">
      <c r="A5" s="5" t="s">
        <v>24</v>
      </c>
      <c r="B5" s="2">
        <v>10</v>
      </c>
      <c r="C5" s="7">
        <v>2500</v>
      </c>
      <c r="D5" s="7">
        <f t="shared" si="0"/>
        <v>25000</v>
      </c>
    </row>
    <row r="6" spans="1:4" x14ac:dyDescent="0.25">
      <c r="A6" s="5" t="str">
        <f ca="1">PROPER(Table2[[#This Row],[Description ]])</f>
        <v>Thermocouples</v>
      </c>
      <c r="B6" s="2">
        <v>80</v>
      </c>
      <c r="C6" s="7">
        <v>30</v>
      </c>
      <c r="D6" s="7">
        <f t="shared" si="0"/>
        <v>2400</v>
      </c>
    </row>
    <row r="7" spans="1:4" x14ac:dyDescent="0.25">
      <c r="A7" s="5" t="str">
        <f ca="1">PROPER(Table2[[#This Row],[Description ]])</f>
        <v>Rails</v>
      </c>
      <c r="B7" s="2">
        <v>20</v>
      </c>
      <c r="C7" s="7">
        <v>2500</v>
      </c>
      <c r="D7" s="7">
        <f t="shared" si="0"/>
        <v>50000</v>
      </c>
    </row>
    <row r="8" spans="1:4" x14ac:dyDescent="0.25">
      <c r="A8" s="5" t="s">
        <v>28</v>
      </c>
      <c r="B8" s="2">
        <v>10</v>
      </c>
      <c r="C8" s="7">
        <v>2378</v>
      </c>
      <c r="D8" s="7">
        <f t="shared" si="0"/>
        <v>23780</v>
      </c>
    </row>
    <row r="9" spans="1:4" x14ac:dyDescent="0.25">
      <c r="A9" s="5" t="str">
        <f ca="1">PROPER(Table2[[#This Row],[Description ]])</f>
        <v>Copper Busbar</v>
      </c>
      <c r="B9" s="2">
        <f>B3*6</f>
        <v>960</v>
      </c>
      <c r="C9" s="7">
        <v>16.649999999999999</v>
      </c>
      <c r="D9" s="7">
        <f t="shared" si="0"/>
        <v>15983.999999999998</v>
      </c>
    </row>
    <row r="10" spans="1:4" x14ac:dyDescent="0.25">
      <c r="A10" s="5" t="str">
        <f ca="1">PROPER(Table2[[#This Row],[Description ]])</f>
        <v>Wire</v>
      </c>
      <c r="B10" s="2">
        <v>200</v>
      </c>
      <c r="C10" s="7">
        <v>7.1</v>
      </c>
      <c r="D10" s="7">
        <f t="shared" si="0"/>
        <v>1420</v>
      </c>
    </row>
    <row r="11" spans="1:4" x14ac:dyDescent="0.25">
      <c r="A11" s="5" t="s">
        <v>25</v>
      </c>
      <c r="B11" s="2">
        <v>10</v>
      </c>
      <c r="C11" s="7">
        <v>1000</v>
      </c>
      <c r="D11" s="7">
        <f t="shared" si="0"/>
        <v>10000</v>
      </c>
    </row>
    <row r="12" spans="1:4" x14ac:dyDescent="0.25">
      <c r="A12" s="5" t="str">
        <f ca="1">PROPER(Table2[[#This Row],[Description ]])</f>
        <v>Enclosure</v>
      </c>
      <c r="B12" s="2">
        <v>1</v>
      </c>
      <c r="C12" s="7">
        <v>1600</v>
      </c>
      <c r="D12" s="7">
        <f t="shared" si="0"/>
        <v>1600</v>
      </c>
    </row>
    <row r="13" spans="1:4" x14ac:dyDescent="0.25">
      <c r="A13" s="5" t="str">
        <f ca="1">PROPER(Table2[[#This Row],[Description ]])</f>
        <v>Contactor</v>
      </c>
      <c r="B13" s="2">
        <v>6</v>
      </c>
      <c r="C13" s="7">
        <v>2886</v>
      </c>
      <c r="D13" s="7">
        <f t="shared" si="0"/>
        <v>17316</v>
      </c>
    </row>
    <row r="14" spans="1:4" x14ac:dyDescent="0.25">
      <c r="A14" s="6" t="s">
        <v>29</v>
      </c>
      <c r="B14" s="3">
        <v>2</v>
      </c>
      <c r="C14" s="8" t="s">
        <v>27</v>
      </c>
      <c r="D14" s="8"/>
    </row>
    <row r="15" spans="1:4" x14ac:dyDescent="0.25">
      <c r="A15" s="5" t="str">
        <f ca="1">PROPER(Table2[[#This Row],[Description ]])</f>
        <v>Shunt</v>
      </c>
      <c r="B15" s="2">
        <v>1</v>
      </c>
      <c r="C15" s="7">
        <v>650</v>
      </c>
      <c r="D15" s="7">
        <f t="shared" si="0"/>
        <v>650</v>
      </c>
    </row>
    <row r="16" spans="1:4" x14ac:dyDescent="0.25">
      <c r="A16" s="6" t="str">
        <f ca="1">PROPER(Table2[[#This Row],[Description ]])</f>
        <v>Amphenol Plug</v>
      </c>
      <c r="B16" s="3">
        <v>8</v>
      </c>
      <c r="C16" s="8" t="s">
        <v>27</v>
      </c>
      <c r="D16" s="8"/>
    </row>
    <row r="17" spans="1:4" x14ac:dyDescent="0.25">
      <c r="A17" s="6" t="str">
        <f ca="1">PROPER(Table2[[#This Row],[Description ]])</f>
        <v>Automotive Plug</v>
      </c>
      <c r="B17" s="3" t="s">
        <v>27</v>
      </c>
      <c r="C17" s="8" t="s">
        <v>27</v>
      </c>
      <c r="D17" s="8"/>
    </row>
    <row r="18" spans="1:4" x14ac:dyDescent="0.25">
      <c r="A18" s="5" t="s">
        <v>26</v>
      </c>
      <c r="B18" s="2">
        <v>1</v>
      </c>
      <c r="C18" s="7">
        <v>20769</v>
      </c>
      <c r="D18" s="7">
        <f t="shared" si="0"/>
        <v>20769</v>
      </c>
    </row>
    <row r="19" spans="1:4" x14ac:dyDescent="0.25">
      <c r="A19" s="5" t="str">
        <f ca="1">PROPER(Table2[[#This Row],[Description ]])</f>
        <v>Relays</v>
      </c>
      <c r="B19" s="2">
        <v>6</v>
      </c>
      <c r="C19" s="7">
        <v>34.28</v>
      </c>
      <c r="D19" s="7">
        <f t="shared" si="0"/>
        <v>205.68</v>
      </c>
    </row>
    <row r="20" spans="1:4" x14ac:dyDescent="0.25">
      <c r="A20" s="5" t="str">
        <f ca="1">PROPER(Table2[[#This Row],[Description ]])</f>
        <v>Plug - Multi 24Way Female Deutsch Kit</v>
      </c>
      <c r="B20" s="2">
        <v>10</v>
      </c>
      <c r="C20" s="7">
        <v>624.99</v>
      </c>
      <c r="D20" s="7">
        <f t="shared" si="0"/>
        <v>6249.9</v>
      </c>
    </row>
    <row r="21" spans="1:4" x14ac:dyDescent="0.25">
      <c r="A21" s="5" t="str">
        <f ca="1">PROPER(Table2[[#This Row],[Description ]])</f>
        <v>Plug - Multi 24Way Male Deutz Kit</v>
      </c>
      <c r="B21" s="2">
        <v>10</v>
      </c>
      <c r="C21" s="7">
        <v>624.99</v>
      </c>
      <c r="D21" s="7">
        <f t="shared" si="0"/>
        <v>6249.9</v>
      </c>
    </row>
    <row r="22" spans="1:4" x14ac:dyDescent="0.25">
      <c r="A22" s="6" t="str">
        <f ca="1">PROPER(Table2[[#This Row],[Description ]])</f>
        <v>Water Pump</v>
      </c>
      <c r="B22" s="3" t="s">
        <v>27</v>
      </c>
      <c r="C22" s="8" t="s">
        <v>27</v>
      </c>
      <c r="D22" s="8"/>
    </row>
    <row r="23" spans="1:4" x14ac:dyDescent="0.25">
      <c r="A23" s="6" t="str">
        <f ca="1">PROPER(Table2[[#This Row],[Description ]])</f>
        <v>Servo Pump</v>
      </c>
      <c r="B23" s="3" t="s">
        <v>27</v>
      </c>
      <c r="C23" s="8" t="s">
        <v>27</v>
      </c>
      <c r="D23" s="8"/>
    </row>
    <row r="24" spans="1:4" x14ac:dyDescent="0.25">
      <c r="A24" s="6" t="str">
        <f ca="1">PROPER(Table2[[#This Row],[Description ]])</f>
        <v>Vacuum Pump</v>
      </c>
      <c r="B24" s="3" t="s">
        <v>27</v>
      </c>
      <c r="C24" s="8" t="s">
        <v>27</v>
      </c>
      <c r="D24" s="8"/>
    </row>
    <row r="25" spans="1:4" x14ac:dyDescent="0.25">
      <c r="A25" s="6" t="str">
        <f ca="1">PROPER(Table2[[#This Row],[Description ]])</f>
        <v xml:space="preserve">Charger </v>
      </c>
      <c r="B25" s="3" t="s">
        <v>27</v>
      </c>
      <c r="C25" s="8" t="s">
        <v>27</v>
      </c>
      <c r="D25" s="8"/>
    </row>
    <row r="26" spans="1:4" x14ac:dyDescent="0.25">
      <c r="A26" s="6" t="str">
        <f ca="1">PROPER(Table2[[#This Row],[Description ]])</f>
        <v>Plug</v>
      </c>
      <c r="B26" s="3" t="s">
        <v>27</v>
      </c>
      <c r="C26" s="8" t="s">
        <v>27</v>
      </c>
      <c r="D26" s="8"/>
    </row>
    <row r="27" spans="1:4" x14ac:dyDescent="0.25">
      <c r="A27" s="6" t="str">
        <f ca="1">PROPER(Table2[[#This Row],[Description ]])</f>
        <v>Cable</v>
      </c>
      <c r="B27" s="3" t="s">
        <v>27</v>
      </c>
      <c r="C27" s="8" t="s">
        <v>27</v>
      </c>
      <c r="D27" s="8"/>
    </row>
    <row r="28" spans="1:4" x14ac:dyDescent="0.25">
      <c r="A28" s="6" t="str">
        <f ca="1">PROPER(Table2[[#This Row],[Description ]])</f>
        <v>Connection Point</v>
      </c>
      <c r="B28" s="3" t="s">
        <v>27</v>
      </c>
      <c r="C28" s="8" t="s">
        <v>27</v>
      </c>
      <c r="D28" s="8"/>
    </row>
    <row r="29" spans="1:4" x14ac:dyDescent="0.25">
      <c r="A29" s="5" t="str">
        <f ca="1">PROPER(Table2[[#This Row],[Description ]])</f>
        <v>Controller</v>
      </c>
      <c r="B29" s="2">
        <v>1</v>
      </c>
      <c r="C29" s="7">
        <v>58459.5</v>
      </c>
      <c r="D29" s="7">
        <f t="shared" si="0"/>
        <v>58459.5</v>
      </c>
    </row>
    <row r="30" spans="1:4" x14ac:dyDescent="0.25">
      <c r="A30" s="6" t="str">
        <f ca="1">PROPER(Table2[[#This Row],[Description ]])</f>
        <v>Plugs</v>
      </c>
      <c r="B30" s="3" t="s">
        <v>27</v>
      </c>
      <c r="C30" s="8" t="s">
        <v>27</v>
      </c>
      <c r="D30" s="8"/>
    </row>
    <row r="31" spans="1:4" x14ac:dyDescent="0.25">
      <c r="A31" s="6" t="str">
        <f ca="1">PROPER(Table2[[#This Row],[Description ]])</f>
        <v>Hv Cable</v>
      </c>
      <c r="B31" s="3" t="s">
        <v>27</v>
      </c>
      <c r="C31" s="8" t="s">
        <v>27</v>
      </c>
      <c r="D31" s="8"/>
    </row>
    <row r="32" spans="1:4" x14ac:dyDescent="0.25">
      <c r="A32" s="5" t="str">
        <f ca="1">PROPER(Table2[[#This Row],[Description ]])</f>
        <v>Motor</v>
      </c>
      <c r="B32" s="2">
        <v>1</v>
      </c>
      <c r="C32" s="7">
        <v>52172.9</v>
      </c>
      <c r="D32" s="7">
        <f t="shared" si="0"/>
        <v>52172.9</v>
      </c>
    </row>
    <row r="33" spans="1:4" x14ac:dyDescent="0.25">
      <c r="A33" s="5" t="str">
        <f ca="1">PROPER(Table2[[#This Row],[Description ]])</f>
        <v>Motor Mountings</v>
      </c>
      <c r="B33" s="2">
        <v>1</v>
      </c>
      <c r="C33" s="7">
        <v>3500</v>
      </c>
      <c r="D33" s="7">
        <f t="shared" si="0"/>
        <v>3500</v>
      </c>
    </row>
    <row r="34" spans="1:4" x14ac:dyDescent="0.25">
      <c r="A34" s="6" t="str">
        <f ca="1">PROPER(Table2[[#This Row],[Description ]])</f>
        <v>Prop Shaft</v>
      </c>
      <c r="B34" s="3">
        <v>1</v>
      </c>
      <c r="C34" s="8" t="s">
        <v>27</v>
      </c>
      <c r="D34" s="8"/>
    </row>
    <row r="35" spans="1:4" x14ac:dyDescent="0.25">
      <c r="A35" s="6" t="str">
        <f ca="1">PROPER(Table2[[#This Row],[Description ]])</f>
        <v>Coupling</v>
      </c>
      <c r="B35" s="3">
        <v>1</v>
      </c>
      <c r="C35" s="8" t="s">
        <v>27</v>
      </c>
      <c r="D35" s="8"/>
    </row>
    <row r="36" spans="1:4" x14ac:dyDescent="0.25">
      <c r="A36" s="6" t="str">
        <f ca="1">PROPER(Table2[[#This Row],[Description ]])</f>
        <v>Cooler</v>
      </c>
      <c r="B36" s="3">
        <v>1</v>
      </c>
      <c r="C36" s="8" t="s">
        <v>27</v>
      </c>
      <c r="D36" s="8"/>
    </row>
    <row r="37" spans="1:4" x14ac:dyDescent="0.25">
      <c r="A37" s="5" t="str">
        <f ca="1">PROPER(Table2[[#This Row],[Description ]])</f>
        <v>Enclosure</v>
      </c>
      <c r="B37" s="2">
        <v>1</v>
      </c>
      <c r="C37" s="7">
        <v>700</v>
      </c>
      <c r="D37" s="7">
        <f t="shared" si="0"/>
        <v>700</v>
      </c>
    </row>
    <row r="38" spans="1:4" x14ac:dyDescent="0.25">
      <c r="A38" s="5" t="str">
        <f ca="1">PROPER(Table2[[#This Row],[Description ]])</f>
        <v>Plugs</v>
      </c>
      <c r="B38" s="2">
        <v>1</v>
      </c>
      <c r="C38" s="7">
        <v>500</v>
      </c>
      <c r="D38" s="7">
        <f t="shared" si="0"/>
        <v>500</v>
      </c>
    </row>
    <row r="39" spans="1:4" x14ac:dyDescent="0.25">
      <c r="A39" s="5" t="str">
        <f ca="1">PROPER(Table2[[#This Row],[Description ]])</f>
        <v>Hmi</v>
      </c>
      <c r="B39" s="2">
        <v>1</v>
      </c>
      <c r="C39" s="7">
        <v>26400</v>
      </c>
      <c r="D39" s="7">
        <f t="shared" si="0"/>
        <v>26400</v>
      </c>
    </row>
    <row r="40" spans="1:4" x14ac:dyDescent="0.25">
      <c r="A40" s="6" t="str">
        <f ca="1">PROPER(Table2[[#This Row],[Description ]])</f>
        <v>Gear Selector</v>
      </c>
      <c r="B40" s="3">
        <v>1</v>
      </c>
      <c r="C40" s="8" t="s">
        <v>27</v>
      </c>
      <c r="D40" s="8"/>
    </row>
    <row r="41" spans="1:4" x14ac:dyDescent="0.25">
      <c r="A41" s="6" t="str">
        <f ca="1">PROPER(Table2[[#This Row],[Description ]])</f>
        <v>Foot Peddle</v>
      </c>
      <c r="B41" s="3">
        <v>1</v>
      </c>
      <c r="C41" s="8" t="s">
        <v>27</v>
      </c>
      <c r="D41" s="8"/>
    </row>
    <row r="42" spans="1:4" x14ac:dyDescent="0.25">
      <c r="A42" s="5" t="s">
        <v>2</v>
      </c>
      <c r="B42" s="2"/>
      <c r="C42" s="7"/>
      <c r="D42" s="7">
        <f>SUBTOTAL(109,Table2[Total])</f>
        <v>553273.91000000015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c543b-a770-4d2b-93dc-20a0f96083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B38FEE80A2458816EB14644F157A" ma:contentTypeVersion="9" ma:contentTypeDescription="Create a new document." ma:contentTypeScope="" ma:versionID="100d72291a9dc0b64569f43582b80e56">
  <xsd:schema xmlns:xsd="http://www.w3.org/2001/XMLSchema" xmlns:xs="http://www.w3.org/2001/XMLSchema" xmlns:p="http://schemas.microsoft.com/office/2006/metadata/properties" xmlns:ns3="74dc543b-a770-4d2b-93dc-20a0f9608399" xmlns:ns4="f515a588-fc18-4da1-bc6f-505e1df95926" targetNamespace="http://schemas.microsoft.com/office/2006/metadata/properties" ma:root="true" ma:fieldsID="ef567bb508dd80106cb9f72292c019f7" ns3:_="" ns4:_="">
    <xsd:import namespace="74dc543b-a770-4d2b-93dc-20a0f9608399"/>
    <xsd:import namespace="f515a588-fc18-4da1-bc6f-505e1df959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c543b-a770-4d2b-93dc-20a0f96083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5a588-fc18-4da1-bc6f-505e1df959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EB609-9413-4E4B-A523-C9033F6657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15A1E-D43E-4F03-A1E5-BEA37D5F74FD}">
  <ds:schemaRefs>
    <ds:schemaRef ds:uri="http://purl.org/dc/elements/1.1/"/>
    <ds:schemaRef ds:uri="74dc543b-a770-4d2b-93dc-20a0f9608399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f515a588-fc18-4da1-bc6f-505e1df95926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BD1094-9254-4A2A-A84F-7D1EE4377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c543b-a770-4d2b-93dc-20a0f9608399"/>
    <ds:schemaRef ds:uri="f515a588-fc18-4da1-bc6f-505e1df95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cp:lastPrinted>2023-04-18T20:21:16Z</cp:lastPrinted>
  <dcterms:created xsi:type="dcterms:W3CDTF">2023-04-18T15:03:29Z</dcterms:created>
  <dcterms:modified xsi:type="dcterms:W3CDTF">2023-04-18T20:34:19Z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0x01010086C8B38FEE80A2458816EB14644F157A</vt:lpwstr>
  </property>
</Properties>
</file>